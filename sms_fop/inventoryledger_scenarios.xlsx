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enario A · Events" sheetId="2" state="visible" r:id="rId2"/>
    <sheet xmlns:r="http://schemas.openxmlformats.org/officeDocument/2006/relationships" name="Scenario A · ATP Calc" sheetId="3" state="visible" r:id="rId3"/>
    <sheet xmlns:r="http://schemas.openxmlformats.org/officeDocument/2006/relationships" name="Scenario A · ATP Final" sheetId="4" state="visible" r:id="rId4"/>
    <sheet xmlns:r="http://schemas.openxmlformats.org/officeDocument/2006/relationships" name="Scenario B · Events" sheetId="5" state="visible" r:id="rId5"/>
    <sheet xmlns:r="http://schemas.openxmlformats.org/officeDocument/2006/relationships" name="Scenario B · ATP Calc" sheetId="6" state="visible" r:id="rId6"/>
    <sheet xmlns:r="http://schemas.openxmlformats.org/officeDocument/2006/relationships" name="Scenario B · ATP Final" sheetId="7" state="visible" r:id="rId7"/>
    <sheet xmlns:r="http://schemas.openxmlformats.org/officeDocument/2006/relationships" name="Scenario C · Events" sheetId="8" state="visible" r:id="rId8"/>
    <sheet xmlns:r="http://schemas.openxmlformats.org/officeDocument/2006/relationships" name="Scenario C · ATP Calc" sheetId="9" state="visible" r:id="rId9"/>
    <sheet xmlns:r="http://schemas.openxmlformats.org/officeDocument/2006/relationships" name="Scenario C · ATP Final" sheetId="10" state="visible" r:id="rId10"/>
    <sheet xmlns:r="http://schemas.openxmlformats.org/officeDocument/2006/relationships" name="Event Counts" sheetId="11" state="visible" r:id="rId11"/>
    <sheet xmlns:r="http://schemas.openxmlformats.org/officeDocument/2006/relationships" name="Formula Refere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4B08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4" customWidth="1" min="3" max="3"/>
    <col width="14" customWidth="1" min="4" max="4"/>
  </cols>
  <sheetData>
    <row r="1">
      <c r="A1" s="1" t="inlineStr">
        <is>
          <t>Inventory Ledger — ATP scenario report</t>
        </is>
      </c>
    </row>
    <row r="2">
      <c r="A2" t="inlineStr">
        <is>
          <t>Generated: 2026-05-18T20:27:21</t>
        </is>
      </c>
    </row>
    <row r="3">
      <c r="A3" t="inlineStr">
        <is>
          <t>Product: P1001 (Widget A)  ·  Tenant: ACME  ·  Warehouses: WH-NL-01, WH-NL-02</t>
        </is>
      </c>
    </row>
    <row r="4"/>
    <row r="5">
      <c r="A5" s="1" t="inlineStr">
        <is>
          <t>Scenario comparison</t>
        </is>
      </c>
    </row>
    <row r="6">
      <c r="A6" s="2" t="inlineStr">
        <is>
          <t>Scenario</t>
        </is>
      </c>
      <c r="B6" s="2" t="inlineStr">
        <is>
          <t>What it tests</t>
        </is>
      </c>
      <c r="C6" s="2" t="inlineStr">
        <is>
          <t>WH-NL-01 ATP</t>
        </is>
      </c>
      <c r="D6" s="2" t="inlineStr">
        <is>
          <t>WH-NL-02 ATP</t>
        </is>
      </c>
    </row>
    <row r="7">
      <c r="A7" s="3" t="inlineStr">
        <is>
          <t>A</t>
        </is>
      </c>
      <c r="B7" s="3" t="inlineStr">
        <is>
          <t>Order placed BEFORE shipments → first shipment matches → order SYNCED → does NOT reduce ATP</t>
        </is>
      </c>
      <c r="C7" s="3" t="n">
        <v>9</v>
      </c>
      <c r="D7" s="3" t="n">
        <v>1</v>
      </c>
    </row>
    <row r="8">
      <c r="A8" s="3" t="inlineStr">
        <is>
          <t>B</t>
        </is>
      </c>
      <c r="B8" s="3" t="inlineStr">
        <is>
          <t>Order placed AFTER shipments → order PENDING (line_state=open, fop_synced_at=NULL) → DOES reduce ATP</t>
        </is>
      </c>
      <c r="C8" s="3" t="n">
        <v>7</v>
      </c>
      <c r="D8" s="3" t="n">
        <v>1</v>
      </c>
    </row>
    <row r="9">
      <c r="A9" s="3" t="inlineStr">
        <is>
          <t>C</t>
        </is>
      </c>
      <c r="B9" s="3" t="inlineStr">
        <is>
          <t>All txn types (receipt + issue + adjustments+/- + sales_return + purchase_return + scrap + transfer) + open order + in-transit order</t>
        </is>
      </c>
      <c r="C9" s="3" t="n">
        <v>94</v>
      </c>
      <c r="D9" s="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2" customWidth="1" min="3" max="3"/>
    <col width="16" customWidth="1" min="4" max="4"/>
    <col width="12" customWidth="1" min="5" max="5"/>
    <col width="38" customWidth="1" min="6" max="6"/>
    <col width="24" customWidth="1" min="7" max="7"/>
    <col width="21" customWidth="1" min="8" max="8"/>
  </cols>
  <sheetData>
    <row r="1">
      <c r="A1" s="1" t="inlineStr">
        <is>
          <t>Scenario A — events (order placed BEFORE shipments)</t>
        </is>
      </c>
    </row>
    <row r="2">
      <c r="A2" s="2" t="inlineStr">
        <is>
          <t>event_type</t>
        </is>
      </c>
      <c r="B2" s="2" t="inlineStr">
        <is>
          <t>external_id</t>
        </is>
      </c>
      <c r="C2" s="2" t="inlineStr">
        <is>
          <t>event_time</t>
        </is>
      </c>
      <c r="D2" s="2" t="inlineStr">
        <is>
          <t>warehouse_code</t>
        </is>
      </c>
      <c r="E2" s="2" t="inlineStr">
        <is>
          <t>signed_qty</t>
        </is>
      </c>
      <c r="F2" s="2" t="inlineStr">
        <is>
          <t>pair_id_or_state</t>
        </is>
      </c>
      <c r="G2" s="2" t="inlineStr">
        <is>
          <t>source_op</t>
        </is>
      </c>
      <c r="H2" s="2" t="inlineStr">
        <is>
          <t>line_state</t>
        </is>
      </c>
    </row>
    <row r="3">
      <c r="A3" s="4" t="inlineStr">
        <is>
          <t>receipt</t>
        </is>
      </c>
      <c r="B3" s="4" t="inlineStr">
        <is>
          <t>SA-RCPT-001</t>
        </is>
      </c>
      <c r="C3" s="4" t="inlineStr">
        <is>
          <t>10:00:00</t>
        </is>
      </c>
      <c r="D3" s="4" t="inlineStr">
        <is>
          <t>WH-NL-01</t>
        </is>
      </c>
      <c r="E3" s="4" t="n">
        <v>5</v>
      </c>
      <c r="F3" s="4" t="inlineStr"/>
      <c r="G3" s="4" t="inlineStr">
        <is>
          <t>post_transaction</t>
        </is>
      </c>
      <c r="H3" s="4" t="inlineStr"/>
    </row>
    <row r="4">
      <c r="A4" s="4" t="inlineStr">
        <is>
          <t>issue</t>
        </is>
      </c>
      <c r="B4" s="4" t="inlineStr">
        <is>
          <t>SA-SHIP-001</t>
        </is>
      </c>
      <c r="C4" s="4" t="inlineStr">
        <is>
          <t>11:00:00</t>
        </is>
      </c>
      <c r="D4" s="4" t="inlineStr">
        <is>
          <t>WH-NL-01</t>
        </is>
      </c>
      <c r="E4" s="4" t="n">
        <v>-2</v>
      </c>
      <c r="F4" s="4" t="inlineStr"/>
      <c r="G4" s="4" t="inlineStr">
        <is>
          <t>post_transaction</t>
        </is>
      </c>
      <c r="H4" s="4" t="inlineStr"/>
    </row>
    <row r="5">
      <c r="A5" s="4" t="inlineStr">
        <is>
          <t>issue</t>
        </is>
      </c>
      <c r="B5" s="4" t="inlineStr">
        <is>
          <t>SA-SHIP-002</t>
        </is>
      </c>
      <c r="C5" s="4" t="inlineStr">
        <is>
          <t>12:00:00</t>
        </is>
      </c>
      <c r="D5" s="4" t="inlineStr">
        <is>
          <t>WH-NL-01</t>
        </is>
      </c>
      <c r="E5" s="4" t="n">
        <v>-3</v>
      </c>
      <c r="F5" s="4" t="inlineStr"/>
      <c r="G5" s="4" t="inlineStr">
        <is>
          <t>post_transaction</t>
        </is>
      </c>
      <c r="H5" s="4" t="inlineStr"/>
    </row>
    <row r="6">
      <c r="A6" s="4" t="inlineStr">
        <is>
          <t>transfer_in</t>
        </is>
      </c>
      <c r="B6" s="4" t="inlineStr">
        <is>
          <t>SA-XFER-001-IN</t>
        </is>
      </c>
      <c r="C6" s="4" t="inlineStr">
        <is>
          <t>13:00:00</t>
        </is>
      </c>
      <c r="D6" s="4" t="inlineStr">
        <is>
          <t>WH-NL-02</t>
        </is>
      </c>
      <c r="E6" s="4" t="n">
        <v>1</v>
      </c>
      <c r="F6" s="4" t="inlineStr">
        <is>
          <t>cccccccc-dddd-eeee-ffff-000000000001</t>
        </is>
      </c>
      <c r="G6" s="4" t="inlineStr">
        <is>
          <t>post_transaction</t>
        </is>
      </c>
      <c r="H6" s="4" t="inlineStr"/>
    </row>
    <row r="7">
      <c r="A7" s="4" t="inlineStr">
        <is>
          <t>transfer_out</t>
        </is>
      </c>
      <c r="B7" s="4" t="inlineStr">
        <is>
          <t>SA-XFER-001-OUT</t>
        </is>
      </c>
      <c r="C7" s="4" t="inlineStr">
        <is>
          <t>13:00:00</t>
        </is>
      </c>
      <c r="D7" s="4" t="inlineStr">
        <is>
          <t>WH-NL-01</t>
        </is>
      </c>
      <c r="E7" s="4" t="n">
        <v>-1</v>
      </c>
      <c r="F7" s="4" t="inlineStr">
        <is>
          <t>cccccccc-dddd-eeee-ffff-000000000001</t>
        </is>
      </c>
      <c r="G7" s="4" t="inlineStr">
        <is>
          <t>post_transaction</t>
        </is>
      </c>
      <c r="H7" s="4" t="inlineStr"/>
    </row>
    <row r="8">
      <c r="A8" s="4" t="inlineStr">
        <is>
          <t>opening_balance</t>
        </is>
      </c>
      <c r="B8" s="4" t="inlineStr">
        <is>
          <t>OPENING-2026-05-18</t>
        </is>
      </c>
      <c r="C8" s="4" t="inlineStr"/>
      <c r="D8" s="4" t="inlineStr">
        <is>
          <t>WH-NL-01</t>
        </is>
      </c>
      <c r="E8" s="4" t="n">
        <v>10</v>
      </c>
      <c r="F8" s="4" t="inlineStr"/>
      <c r="G8" s="4" t="inlineStr">
        <is>
          <t>INSERT opening_balance</t>
        </is>
      </c>
      <c r="H8" s="4" t="inlineStr"/>
    </row>
    <row r="9">
      <c r="A9" s="4" t="inlineStr">
        <is>
          <t>sfdc_order</t>
        </is>
      </c>
      <c r="B9" s="4" t="inlineStr">
        <is>
          <t>SF-SCEN-A</t>
        </is>
      </c>
      <c r="C9" s="4" t="inlineStr"/>
      <c r="D9" s="4" t="inlineStr">
        <is>
          <t>WH-NL-01</t>
        </is>
      </c>
      <c r="E9" s="4" t="n">
        <v>2</v>
      </c>
      <c r="F9" s="4" t="inlineStr"/>
      <c r="G9" s="4" t="inlineStr">
        <is>
          <t>upsert_order</t>
        </is>
      </c>
      <c r="H9" s="4" t="inlineStr">
        <is>
          <t>synced (fop_synced)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5" customWidth="1" min="3" max="3"/>
    <col width="33" customWidth="1" min="4" max="4"/>
    <col width="50" customWidth="1" min="5" max="5"/>
    <col width="34" customWidth="1" min="6" max="6"/>
    <col width="14" customWidth="1" min="7" max="7"/>
    <col width="10" customWidth="1" min="8" max="8"/>
  </cols>
  <sheetData>
    <row r="1">
      <c r="A1" s="2" t="inlineStr">
        <is>
          <t>scenario_or_wh</t>
        </is>
      </c>
      <c r="B1" s="2" t="inlineStr">
        <is>
          <t>event_type</t>
        </is>
      </c>
      <c r="C1" s="2" t="inlineStr">
        <is>
          <t>external_id</t>
        </is>
      </c>
      <c r="D1" s="2" t="inlineStr">
        <is>
          <t>qty_delta</t>
        </is>
      </c>
      <c r="E1" s="2" t="inlineStr">
        <is>
          <t>running_on_hand</t>
        </is>
      </c>
      <c r="F1" s="2" t="inlineStr">
        <is>
          <t>col6</t>
        </is>
      </c>
      <c r="G1" s="2" t="inlineStr">
        <is>
          <t>col7</t>
        </is>
      </c>
      <c r="H1" s="2" t="inlineStr">
        <is>
          <t>col8</t>
        </is>
      </c>
    </row>
    <row r="2">
      <c r="A2" s="5" t="inlineStr">
        <is>
          <t>SCENARIO A — order placed BEFORE all shipments → first shipment matched + synced → order NO LONGER reduces ATP</t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</row>
    <row r="3">
      <c r="A3" s="5" t="inlineStr">
        <is>
          <t xml:space="preserve">  WH-NL-01</t>
        </is>
      </c>
      <c r="B3" s="5" t="inlineStr">
        <is>
          <t>event_type</t>
        </is>
      </c>
      <c r="C3" s="5" t="inlineStr">
        <is>
          <t>external_id</t>
        </is>
      </c>
      <c r="D3" s="5" t="inlineStr">
        <is>
          <t>qty_delta</t>
        </is>
      </c>
      <c r="E3" s="5" t="inlineStr">
        <is>
          <t>running_on_hand</t>
        </is>
      </c>
      <c r="F3" s="5" t="inlineStr"/>
      <c r="G3" s="5" t="inlineStr"/>
      <c r="H3" s="5" t="inlineStr"/>
    </row>
    <row r="4">
      <c r="A4" s="5" t="inlineStr"/>
      <c r="B4" s="5" t="inlineStr">
        <is>
          <t>receipt</t>
        </is>
      </c>
      <c r="C4" s="5" t="inlineStr">
        <is>
          <t>SA-RCPT-001</t>
        </is>
      </c>
      <c r="D4" s="5" t="n">
        <v>5</v>
      </c>
      <c r="E4" s="5" t="n">
        <v>5</v>
      </c>
      <c r="F4" s="5" t="inlineStr"/>
      <c r="G4" s="5" t="inlineStr"/>
      <c r="H4" s="5" t="inlineStr"/>
    </row>
    <row r="5">
      <c r="A5" s="5" t="inlineStr"/>
      <c r="B5" s="5" t="inlineStr">
        <is>
          <t>issue</t>
        </is>
      </c>
      <c r="C5" s="5" t="inlineStr">
        <is>
          <t>SA-SHIP-001</t>
        </is>
      </c>
      <c r="D5" s="5" t="n">
        <v>-2</v>
      </c>
      <c r="E5" s="5" t="n">
        <v>3</v>
      </c>
      <c r="F5" s="5" t="inlineStr"/>
      <c r="G5" s="5" t="inlineStr"/>
      <c r="H5" s="5" t="inlineStr"/>
    </row>
    <row r="6">
      <c r="A6" s="5" t="inlineStr"/>
      <c r="B6" s="5" t="inlineStr">
        <is>
          <t>issue</t>
        </is>
      </c>
      <c r="C6" s="5" t="inlineStr">
        <is>
          <t>SA-SHIP-002</t>
        </is>
      </c>
      <c r="D6" s="5" t="n">
        <v>-3</v>
      </c>
      <c r="E6" s="5" t="n">
        <v>0</v>
      </c>
      <c r="F6" s="5" t="inlineStr"/>
      <c r="G6" s="5" t="inlineStr"/>
      <c r="H6" s="5" t="inlineStr"/>
    </row>
    <row r="7">
      <c r="A7" s="5" t="inlineStr"/>
      <c r="B7" s="5" t="inlineStr">
        <is>
          <t>transfer_out</t>
        </is>
      </c>
      <c r="C7" s="5" t="inlineStr">
        <is>
          <t>SA-XFER-001-OUT</t>
        </is>
      </c>
      <c r="D7" s="5" t="n">
        <v>-1</v>
      </c>
      <c r="E7" s="5" t="n">
        <v>-1</v>
      </c>
      <c r="F7" s="5" t="inlineStr"/>
      <c r="G7" s="5" t="inlineStr"/>
      <c r="H7" s="5" t="inlineStr"/>
    </row>
    <row r="8">
      <c r="A8" s="5" t="inlineStr"/>
      <c r="B8" s="5" t="inlineStr">
        <is>
          <t>opening_balance</t>
        </is>
      </c>
      <c r="C8" s="5" t="inlineStr">
        <is>
          <t>OPENING-2026-05-18</t>
        </is>
      </c>
      <c r="D8" s="5" t="n">
        <v>10</v>
      </c>
      <c r="E8" s="5" t="n">
        <v>9</v>
      </c>
      <c r="F8" s="5" t="inlineStr"/>
      <c r="G8" s="5" t="inlineStr"/>
      <c r="H8" s="5" t="inlineStr"/>
    </row>
    <row r="9">
      <c r="A9" s="5" t="inlineStr">
        <is>
          <t xml:space="preserve">  WH-NL-01 summary</t>
        </is>
      </c>
      <c r="B9" s="5" t="inlineStr">
        <is>
          <t>on_hand=9.0000</t>
        </is>
      </c>
      <c r="C9" s="5" t="inlineStr">
        <is>
          <t>reserved=0 (open lines)</t>
        </is>
      </c>
      <c r="D9" s="5" t="inlineStr">
        <is>
          <t>allocated=2.0000 (synced lines)</t>
        </is>
      </c>
      <c r="E9" s="5" t="inlineStr">
        <is>
          <t>pending=0 (open+synced AND fop_synced_at IS NULL)</t>
        </is>
      </c>
      <c r="F9" s="5" t="inlineStr">
        <is>
          <t>formula: ATP = on_hand - pending</t>
        </is>
      </c>
      <c r="G9" s="5">
        <f> 9.0000 - 0</f>
        <v/>
      </c>
      <c r="H9" s="5">
        <f> 9.0000</f>
        <v/>
      </c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>
        <is>
          <t xml:space="preserve">  WH-NL-02</t>
        </is>
      </c>
      <c r="B11" s="5" t="inlineStr">
        <is>
          <t>event_type</t>
        </is>
      </c>
      <c r="C11" s="5" t="inlineStr">
        <is>
          <t>external_id</t>
        </is>
      </c>
      <c r="D11" s="5" t="inlineStr">
        <is>
          <t>qty_delta</t>
        </is>
      </c>
      <c r="E11" s="5" t="inlineStr">
        <is>
          <t>running_on_hand</t>
        </is>
      </c>
      <c r="F11" s="5" t="inlineStr"/>
      <c r="G11" s="5" t="inlineStr"/>
      <c r="H11" s="5" t="inlineStr"/>
    </row>
    <row r="12">
      <c r="A12" s="5" t="inlineStr"/>
      <c r="B12" s="5" t="inlineStr">
        <is>
          <t>transfer_in</t>
        </is>
      </c>
      <c r="C12" s="5" t="inlineStr">
        <is>
          <t>SA-XFER-001-IN</t>
        </is>
      </c>
      <c r="D12" s="5" t="n">
        <v>1</v>
      </c>
      <c r="E12" s="5" t="n">
        <v>1</v>
      </c>
      <c r="F12" s="5" t="inlineStr"/>
      <c r="G12" s="5" t="inlineStr"/>
      <c r="H12" s="5" t="inlineStr"/>
    </row>
    <row r="13">
      <c r="A13" s="5" t="inlineStr">
        <is>
          <t xml:space="preserve">  WH-NL-02 summary</t>
        </is>
      </c>
      <c r="B13" s="5" t="inlineStr">
        <is>
          <t>on_hand=1.0000</t>
        </is>
      </c>
      <c r="C13" s="5" t="inlineStr">
        <is>
          <t>reserved=0 (open lines)</t>
        </is>
      </c>
      <c r="D13" s="5" t="inlineStr">
        <is>
          <t>allocated=0 (synced lines)</t>
        </is>
      </c>
      <c r="E13" s="5" t="inlineStr">
        <is>
          <t>pending=0 (open+synced AND fop_synced_at IS NULL)</t>
        </is>
      </c>
      <c r="F13" s="5" t="inlineStr">
        <is>
          <t>formula: ATP = on_hand - pending</t>
        </is>
      </c>
      <c r="G13" s="5">
        <f> 1.0000 - 0</f>
        <v/>
      </c>
      <c r="H13" s="5">
        <f> 1.0000</f>
        <v/>
      </c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1" customWidth="1" min="3" max="3"/>
    <col width="9" customWidth="1" min="4" max="4"/>
    <col width="10" customWidth="1" min="5" max="5"/>
    <col width="11" customWidth="1" min="6" max="6"/>
    <col width="9" customWidth="1" min="7" max="7"/>
    <col width="5" customWidth="1" min="8" max="8"/>
  </cols>
  <sheetData>
    <row r="1">
      <c r="A1" s="1" t="inlineStr">
        <is>
          <t>Scenario A — final ATP (from calculate_inventory)</t>
        </is>
      </c>
    </row>
    <row r="2">
      <c r="A2" s="2" t="inlineStr">
        <is>
          <t>tenant</t>
        </is>
      </c>
      <c r="B2" s="2" t="inlineStr">
        <is>
          <t>product</t>
        </is>
      </c>
      <c r="C2" s="2" t="inlineStr">
        <is>
          <t>warehouse</t>
        </is>
      </c>
      <c r="D2" s="2" t="inlineStr">
        <is>
          <t>on_hand</t>
        </is>
      </c>
      <c r="E2" s="2" t="inlineStr">
        <is>
          <t>reserved</t>
        </is>
      </c>
      <c r="F2" s="2" t="inlineStr">
        <is>
          <t>allocated</t>
        </is>
      </c>
      <c r="G2" s="2" t="inlineStr">
        <is>
          <t>pending</t>
        </is>
      </c>
      <c r="H2" s="2" t="inlineStr">
        <is>
          <t>ATP</t>
        </is>
      </c>
    </row>
    <row r="3">
      <c r="A3" s="4" t="inlineStr">
        <is>
          <t>ACME</t>
        </is>
      </c>
      <c r="B3" s="4" t="inlineStr">
        <is>
          <t>P1001</t>
        </is>
      </c>
      <c r="C3" s="4" t="inlineStr">
        <is>
          <t>WH-NL-01</t>
        </is>
      </c>
      <c r="D3" s="4" t="n">
        <v>9</v>
      </c>
      <c r="E3" s="4" t="n">
        <v>0</v>
      </c>
      <c r="F3" s="4" t="n">
        <v>2</v>
      </c>
      <c r="G3" s="4" t="n">
        <v>0</v>
      </c>
      <c r="H3" s="4" t="n">
        <v>9</v>
      </c>
    </row>
    <row r="4">
      <c r="A4" s="4" t="inlineStr">
        <is>
          <t>ACME</t>
        </is>
      </c>
      <c r="B4" s="4" t="inlineStr">
        <is>
          <t>P1001</t>
        </is>
      </c>
      <c r="C4" s="4" t="inlineStr">
        <is>
          <t>WH-NL-02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2" customWidth="1" min="3" max="3"/>
    <col width="16" customWidth="1" min="4" max="4"/>
    <col width="12" customWidth="1" min="5" max="5"/>
    <col width="38" customWidth="1" min="6" max="6"/>
    <col width="24" customWidth="1" min="7" max="7"/>
    <col width="16" customWidth="1" min="8" max="8"/>
  </cols>
  <sheetData>
    <row r="1">
      <c r="A1" s="1" t="inlineStr">
        <is>
          <t>Scenario B — events (order placed AFTER shipments)</t>
        </is>
      </c>
    </row>
    <row r="2">
      <c r="A2" s="2" t="inlineStr">
        <is>
          <t>event_type</t>
        </is>
      </c>
      <c r="B2" s="2" t="inlineStr">
        <is>
          <t>external_id</t>
        </is>
      </c>
      <c r="C2" s="2" t="inlineStr">
        <is>
          <t>event_time</t>
        </is>
      </c>
      <c r="D2" s="2" t="inlineStr">
        <is>
          <t>warehouse_code</t>
        </is>
      </c>
      <c r="E2" s="2" t="inlineStr">
        <is>
          <t>signed_qty</t>
        </is>
      </c>
      <c r="F2" s="2" t="inlineStr">
        <is>
          <t>pair_id_or_state</t>
        </is>
      </c>
      <c r="G2" s="2" t="inlineStr">
        <is>
          <t>source_op</t>
        </is>
      </c>
      <c r="H2" s="2" t="inlineStr">
        <is>
          <t>line_state</t>
        </is>
      </c>
    </row>
    <row r="3">
      <c r="A3" s="6" t="inlineStr">
        <is>
          <t>receipt</t>
        </is>
      </c>
      <c r="B3" s="6" t="inlineStr">
        <is>
          <t>SB-RCPT-001</t>
        </is>
      </c>
      <c r="C3" s="6" t="inlineStr">
        <is>
          <t>10:00:00</t>
        </is>
      </c>
      <c r="D3" s="6" t="inlineStr">
        <is>
          <t>WH-NL-01</t>
        </is>
      </c>
      <c r="E3" s="6" t="n">
        <v>5</v>
      </c>
      <c r="F3" s="6" t="inlineStr"/>
      <c r="G3" s="6" t="inlineStr">
        <is>
          <t>post_transaction</t>
        </is>
      </c>
      <c r="H3" s="6" t="inlineStr"/>
    </row>
    <row r="4">
      <c r="A4" s="6" t="inlineStr">
        <is>
          <t>issue</t>
        </is>
      </c>
      <c r="B4" s="6" t="inlineStr">
        <is>
          <t>SB-SHIP-001</t>
        </is>
      </c>
      <c r="C4" s="6" t="inlineStr">
        <is>
          <t>11:00:00</t>
        </is>
      </c>
      <c r="D4" s="6" t="inlineStr">
        <is>
          <t>WH-NL-01</t>
        </is>
      </c>
      <c r="E4" s="6" t="n">
        <v>-2</v>
      </c>
      <c r="F4" s="6" t="inlineStr"/>
      <c r="G4" s="6" t="inlineStr">
        <is>
          <t>post_transaction</t>
        </is>
      </c>
      <c r="H4" s="6" t="inlineStr"/>
    </row>
    <row r="5">
      <c r="A5" s="6" t="inlineStr">
        <is>
          <t>issue</t>
        </is>
      </c>
      <c r="B5" s="6" t="inlineStr">
        <is>
          <t>SB-SHIP-002</t>
        </is>
      </c>
      <c r="C5" s="6" t="inlineStr">
        <is>
          <t>12:00:00</t>
        </is>
      </c>
      <c r="D5" s="6" t="inlineStr">
        <is>
          <t>WH-NL-01</t>
        </is>
      </c>
      <c r="E5" s="6" t="n">
        <v>-3</v>
      </c>
      <c r="F5" s="6" t="inlineStr"/>
      <c r="G5" s="6" t="inlineStr">
        <is>
          <t>post_transaction</t>
        </is>
      </c>
      <c r="H5" s="6" t="inlineStr"/>
    </row>
    <row r="6">
      <c r="A6" s="6" t="inlineStr">
        <is>
          <t>transfer_in</t>
        </is>
      </c>
      <c r="B6" s="6" t="inlineStr">
        <is>
          <t>SB-XFER-001-IN</t>
        </is>
      </c>
      <c r="C6" s="6" t="inlineStr">
        <is>
          <t>13:00:00</t>
        </is>
      </c>
      <c r="D6" s="6" t="inlineStr">
        <is>
          <t>WH-NL-02</t>
        </is>
      </c>
      <c r="E6" s="6" t="n">
        <v>1</v>
      </c>
      <c r="F6" s="6" t="inlineStr">
        <is>
          <t>dddddddd-eeee-ffff-0000-000000000001</t>
        </is>
      </c>
      <c r="G6" s="6" t="inlineStr">
        <is>
          <t>post_transaction</t>
        </is>
      </c>
      <c r="H6" s="6" t="inlineStr"/>
    </row>
    <row r="7">
      <c r="A7" s="6" t="inlineStr">
        <is>
          <t>transfer_out</t>
        </is>
      </c>
      <c r="B7" s="6" t="inlineStr">
        <is>
          <t>SB-XFER-001-OUT</t>
        </is>
      </c>
      <c r="C7" s="6" t="inlineStr">
        <is>
          <t>13:00:00</t>
        </is>
      </c>
      <c r="D7" s="6" t="inlineStr">
        <is>
          <t>WH-NL-01</t>
        </is>
      </c>
      <c r="E7" s="6" t="n">
        <v>-1</v>
      </c>
      <c r="F7" s="6" t="inlineStr">
        <is>
          <t>dddddddd-eeee-ffff-0000-000000000001</t>
        </is>
      </c>
      <c r="G7" s="6" t="inlineStr">
        <is>
          <t>post_transaction</t>
        </is>
      </c>
      <c r="H7" s="6" t="inlineStr"/>
    </row>
    <row r="8">
      <c r="A8" s="6" t="inlineStr">
        <is>
          <t>opening_balance</t>
        </is>
      </c>
      <c r="B8" s="6" t="inlineStr">
        <is>
          <t>OPENING-2026-05-18</t>
        </is>
      </c>
      <c r="C8" s="6" t="inlineStr"/>
      <c r="D8" s="6" t="inlineStr">
        <is>
          <t>WH-NL-01</t>
        </is>
      </c>
      <c r="E8" s="6" t="n">
        <v>10</v>
      </c>
      <c r="F8" s="6" t="inlineStr"/>
      <c r="G8" s="6" t="inlineStr">
        <is>
          <t>INSERT opening_balance</t>
        </is>
      </c>
      <c r="H8" s="6" t="inlineStr"/>
    </row>
    <row r="9">
      <c r="A9" s="6" t="inlineStr">
        <is>
          <t>sfdc_order</t>
        </is>
      </c>
      <c r="B9" s="6" t="inlineStr">
        <is>
          <t>SF-SCEN-B</t>
        </is>
      </c>
      <c r="C9" s="6" t="inlineStr"/>
      <c r="D9" s="6" t="inlineStr">
        <is>
          <t>WH-NL-01</t>
        </is>
      </c>
      <c r="E9" s="6" t="n">
        <v>2</v>
      </c>
      <c r="F9" s="6" t="inlineStr"/>
      <c r="G9" s="6" t="inlineStr">
        <is>
          <t>upsert_order</t>
        </is>
      </c>
      <c r="H9" s="6" t="inlineStr">
        <is>
          <t>open (pending)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30" customWidth="1" min="3" max="3"/>
    <col width="28" customWidth="1" min="4" max="4"/>
    <col width="50" customWidth="1" min="5" max="5"/>
    <col width="34" customWidth="1" min="6" max="6"/>
    <col width="19" customWidth="1" min="7" max="7"/>
    <col width="10" customWidth="1" min="8" max="8"/>
  </cols>
  <sheetData>
    <row r="1">
      <c r="A1" s="2" t="inlineStr">
        <is>
          <t>scenario_or_wh</t>
        </is>
      </c>
      <c r="B1" s="2" t="inlineStr">
        <is>
          <t>event_type</t>
        </is>
      </c>
      <c r="C1" s="2" t="inlineStr">
        <is>
          <t>external_id</t>
        </is>
      </c>
      <c r="D1" s="2" t="inlineStr">
        <is>
          <t>qty_delta</t>
        </is>
      </c>
      <c r="E1" s="2" t="inlineStr">
        <is>
          <t>running_on_hand</t>
        </is>
      </c>
      <c r="F1" s="2" t="inlineStr">
        <is>
          <t>col6</t>
        </is>
      </c>
      <c r="G1" s="2" t="inlineStr">
        <is>
          <t>col7</t>
        </is>
      </c>
      <c r="H1" s="2" t="inlineStr">
        <is>
          <t>col8</t>
        </is>
      </c>
    </row>
    <row r="2">
      <c r="A2" s="5" t="inlineStr">
        <is>
          <t>SCENARIO B — order placed AFTER all shipments → order remains pending (fop_synced_at NULL) → order REDUCES ATP</t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</row>
    <row r="3">
      <c r="A3" s="5" t="inlineStr">
        <is>
          <t xml:space="preserve">  WH-NL-01</t>
        </is>
      </c>
      <c r="B3" s="5" t="inlineStr">
        <is>
          <t>event_type</t>
        </is>
      </c>
      <c r="C3" s="5" t="inlineStr">
        <is>
          <t>external_id</t>
        </is>
      </c>
      <c r="D3" s="5" t="inlineStr">
        <is>
          <t>qty_delta</t>
        </is>
      </c>
      <c r="E3" s="5" t="inlineStr">
        <is>
          <t>running_on_hand</t>
        </is>
      </c>
      <c r="F3" s="5" t="inlineStr"/>
      <c r="G3" s="5" t="inlineStr"/>
      <c r="H3" s="5" t="inlineStr"/>
    </row>
    <row r="4">
      <c r="A4" s="5" t="inlineStr"/>
      <c r="B4" s="5" t="inlineStr">
        <is>
          <t>receipt</t>
        </is>
      </c>
      <c r="C4" s="5" t="inlineStr">
        <is>
          <t>SB-RCPT-001</t>
        </is>
      </c>
      <c r="D4" s="5" t="n">
        <v>5</v>
      </c>
      <c r="E4" s="5" t="n">
        <v>5</v>
      </c>
      <c r="F4" s="5" t="inlineStr"/>
      <c r="G4" s="5" t="inlineStr"/>
      <c r="H4" s="5" t="inlineStr"/>
    </row>
    <row r="5">
      <c r="A5" s="5" t="inlineStr"/>
      <c r="B5" s="5" t="inlineStr">
        <is>
          <t>issue</t>
        </is>
      </c>
      <c r="C5" s="5" t="inlineStr">
        <is>
          <t>SB-SHIP-001</t>
        </is>
      </c>
      <c r="D5" s="5" t="n">
        <v>-2</v>
      </c>
      <c r="E5" s="5" t="n">
        <v>3</v>
      </c>
      <c r="F5" s="5" t="inlineStr"/>
      <c r="G5" s="5" t="inlineStr"/>
      <c r="H5" s="5" t="inlineStr"/>
    </row>
    <row r="6">
      <c r="A6" s="5" t="inlineStr"/>
      <c r="B6" s="5" t="inlineStr">
        <is>
          <t>issue</t>
        </is>
      </c>
      <c r="C6" s="5" t="inlineStr">
        <is>
          <t>SB-SHIP-002</t>
        </is>
      </c>
      <c r="D6" s="5" t="n">
        <v>-3</v>
      </c>
      <c r="E6" s="5" t="n">
        <v>0</v>
      </c>
      <c r="F6" s="5" t="inlineStr"/>
      <c r="G6" s="5" t="inlineStr"/>
      <c r="H6" s="5" t="inlineStr"/>
    </row>
    <row r="7">
      <c r="A7" s="5" t="inlineStr"/>
      <c r="B7" s="5" t="inlineStr">
        <is>
          <t>transfer_out</t>
        </is>
      </c>
      <c r="C7" s="5" t="inlineStr">
        <is>
          <t>SB-XFER-001-OUT</t>
        </is>
      </c>
      <c r="D7" s="5" t="n">
        <v>-1</v>
      </c>
      <c r="E7" s="5" t="n">
        <v>-1</v>
      </c>
      <c r="F7" s="5" t="inlineStr"/>
      <c r="G7" s="5" t="inlineStr"/>
      <c r="H7" s="5" t="inlineStr"/>
    </row>
    <row r="8">
      <c r="A8" s="5" t="inlineStr"/>
      <c r="B8" s="5" t="inlineStr">
        <is>
          <t>opening_balance</t>
        </is>
      </c>
      <c r="C8" s="5" t="inlineStr">
        <is>
          <t>OPENING-2026-05-18</t>
        </is>
      </c>
      <c r="D8" s="5" t="n">
        <v>10</v>
      </c>
      <c r="E8" s="5" t="n">
        <v>9</v>
      </c>
      <c r="F8" s="5" t="inlineStr"/>
      <c r="G8" s="5" t="inlineStr"/>
      <c r="H8" s="5" t="inlineStr"/>
    </row>
    <row r="9">
      <c r="A9" s="5" t="inlineStr">
        <is>
          <t xml:space="preserve">  WH-NL-01 summary</t>
        </is>
      </c>
      <c r="B9" s="5" t="inlineStr">
        <is>
          <t>on_hand=9.0000</t>
        </is>
      </c>
      <c r="C9" s="5" t="inlineStr">
        <is>
          <t>reserved=2.0000 (open lines)</t>
        </is>
      </c>
      <c r="D9" s="5" t="inlineStr">
        <is>
          <t>allocated=0 (synced lines)</t>
        </is>
      </c>
      <c r="E9" s="5" t="inlineStr">
        <is>
          <t>pending=2.0000 (open+synced AND fop_synced_at IS NULL)</t>
        </is>
      </c>
      <c r="F9" s="5" t="inlineStr">
        <is>
          <t>formula: ATP = on_hand - pending</t>
        </is>
      </c>
      <c r="G9" s="5">
        <f> 9.0000 - 2.0000</f>
        <v/>
      </c>
      <c r="H9" s="5">
        <f> 7.0000</f>
        <v/>
      </c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>
        <is>
          <t xml:space="preserve">  WH-NL-02</t>
        </is>
      </c>
      <c r="B11" s="5" t="inlineStr">
        <is>
          <t>event_type</t>
        </is>
      </c>
      <c r="C11" s="5" t="inlineStr">
        <is>
          <t>external_id</t>
        </is>
      </c>
      <c r="D11" s="5" t="inlineStr">
        <is>
          <t>qty_delta</t>
        </is>
      </c>
      <c r="E11" s="5" t="inlineStr">
        <is>
          <t>running_on_hand</t>
        </is>
      </c>
      <c r="F11" s="5" t="inlineStr"/>
      <c r="G11" s="5" t="inlineStr"/>
      <c r="H11" s="5" t="inlineStr"/>
    </row>
    <row r="12">
      <c r="A12" s="5" t="inlineStr"/>
      <c r="B12" s="5" t="inlineStr">
        <is>
          <t>transfer_in</t>
        </is>
      </c>
      <c r="C12" s="5" t="inlineStr">
        <is>
          <t>SB-XFER-001-IN</t>
        </is>
      </c>
      <c r="D12" s="5" t="n">
        <v>1</v>
      </c>
      <c r="E12" s="5" t="n">
        <v>1</v>
      </c>
      <c r="F12" s="5" t="inlineStr"/>
      <c r="G12" s="5" t="inlineStr"/>
      <c r="H12" s="5" t="inlineStr"/>
    </row>
    <row r="13">
      <c r="A13" s="5" t="inlineStr">
        <is>
          <t xml:space="preserve">  WH-NL-02 summary</t>
        </is>
      </c>
      <c r="B13" s="5" t="inlineStr">
        <is>
          <t>on_hand=1.0000</t>
        </is>
      </c>
      <c r="C13" s="5" t="inlineStr">
        <is>
          <t>reserved=0 (open lines)</t>
        </is>
      </c>
      <c r="D13" s="5" t="inlineStr">
        <is>
          <t>allocated=0 (synced lines)</t>
        </is>
      </c>
      <c r="E13" s="5" t="inlineStr">
        <is>
          <t>pending=0 (open+synced AND fop_synced_at IS NULL)</t>
        </is>
      </c>
      <c r="F13" s="5" t="inlineStr">
        <is>
          <t>formula: ATP = on_hand - pending</t>
        </is>
      </c>
      <c r="G13" s="5">
        <f> 1.0000 - 0</f>
        <v/>
      </c>
      <c r="H13" s="5">
        <f> 1.0000</f>
        <v/>
      </c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1" customWidth="1" min="3" max="3"/>
    <col width="9" customWidth="1" min="4" max="4"/>
    <col width="10" customWidth="1" min="5" max="5"/>
    <col width="11" customWidth="1" min="6" max="6"/>
    <col width="9" customWidth="1" min="7" max="7"/>
    <col width="5" customWidth="1" min="8" max="8"/>
  </cols>
  <sheetData>
    <row r="1">
      <c r="A1" s="1" t="inlineStr">
        <is>
          <t>Scenario B — final ATP (from calculate_inventory)</t>
        </is>
      </c>
    </row>
    <row r="2">
      <c r="A2" s="2" t="inlineStr">
        <is>
          <t>tenant</t>
        </is>
      </c>
      <c r="B2" s="2" t="inlineStr">
        <is>
          <t>product</t>
        </is>
      </c>
      <c r="C2" s="2" t="inlineStr">
        <is>
          <t>warehouse</t>
        </is>
      </c>
      <c r="D2" s="2" t="inlineStr">
        <is>
          <t>on_hand</t>
        </is>
      </c>
      <c r="E2" s="2" t="inlineStr">
        <is>
          <t>reserved</t>
        </is>
      </c>
      <c r="F2" s="2" t="inlineStr">
        <is>
          <t>allocated</t>
        </is>
      </c>
      <c r="G2" s="2" t="inlineStr">
        <is>
          <t>pending</t>
        </is>
      </c>
      <c r="H2" s="2" t="inlineStr">
        <is>
          <t>ATP</t>
        </is>
      </c>
    </row>
    <row r="3">
      <c r="A3" s="6" t="inlineStr">
        <is>
          <t>ACME</t>
        </is>
      </c>
      <c r="B3" s="6" t="inlineStr">
        <is>
          <t>P1001</t>
        </is>
      </c>
      <c r="C3" s="6" t="inlineStr">
        <is>
          <t>WH-NL-01</t>
        </is>
      </c>
      <c r="D3" s="6" t="n">
        <v>9</v>
      </c>
      <c r="E3" s="6" t="n">
        <v>2</v>
      </c>
      <c r="F3" s="6" t="n">
        <v>0</v>
      </c>
      <c r="G3" s="6" t="n">
        <v>2</v>
      </c>
      <c r="H3" s="6" t="n">
        <v>7</v>
      </c>
    </row>
    <row r="4">
      <c r="A4" s="6" t="inlineStr">
        <is>
          <t>ACME</t>
        </is>
      </c>
      <c r="B4" s="6" t="inlineStr">
        <is>
          <t>P1001</t>
        </is>
      </c>
      <c r="C4" s="6" t="inlineStr">
        <is>
          <t>WH-NL-02</t>
        </is>
      </c>
      <c r="D4" s="6" t="n">
        <v>1</v>
      </c>
      <c r="E4" s="6" t="n">
        <v>0</v>
      </c>
      <c r="F4" s="6" t="n">
        <v>0</v>
      </c>
      <c r="G4" s="6" t="n">
        <v>0</v>
      </c>
      <c r="H4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2" customWidth="1" min="3" max="3"/>
    <col width="16" customWidth="1" min="4" max="4"/>
    <col width="12" customWidth="1" min="5" max="5"/>
    <col width="38" customWidth="1" min="6" max="6"/>
    <col width="24" customWidth="1" min="7" max="7"/>
    <col width="18" customWidth="1" min="8" max="8"/>
  </cols>
  <sheetData>
    <row r="1">
      <c r="A1" s="1" t="inlineStr">
        <is>
          <t>Scenario C — all transaction types + 2 SFDC orders (open + in-transit)</t>
        </is>
      </c>
    </row>
    <row r="2">
      <c r="A2" s="2" t="inlineStr">
        <is>
          <t>event_type</t>
        </is>
      </c>
      <c r="B2" s="2" t="inlineStr">
        <is>
          <t>external_id</t>
        </is>
      </c>
      <c r="C2" s="2" t="inlineStr">
        <is>
          <t>event_time</t>
        </is>
      </c>
      <c r="D2" s="2" t="inlineStr">
        <is>
          <t>warehouse_code</t>
        </is>
      </c>
      <c r="E2" s="2" t="inlineStr">
        <is>
          <t>signed_qty</t>
        </is>
      </c>
      <c r="F2" s="2" t="inlineStr">
        <is>
          <t>pair_id_or_state</t>
        </is>
      </c>
      <c r="G2" s="2" t="inlineStr">
        <is>
          <t>source_op</t>
        </is>
      </c>
      <c r="H2" s="2" t="inlineStr">
        <is>
          <t>line_state</t>
        </is>
      </c>
    </row>
    <row r="3">
      <c r="A3" s="7" t="inlineStr">
        <is>
          <t>receipt</t>
        </is>
      </c>
      <c r="B3" s="7" t="inlineStr">
        <is>
          <t>SC-RCPT</t>
        </is>
      </c>
      <c r="C3" s="7" t="inlineStr">
        <is>
          <t>08:00:00</t>
        </is>
      </c>
      <c r="D3" s="7" t="inlineStr">
        <is>
          <t>WH-NL-01</t>
        </is>
      </c>
      <c r="E3" s="7" t="n">
        <v>20</v>
      </c>
      <c r="F3" s="7" t="inlineStr"/>
      <c r="G3" s="7" t="inlineStr">
        <is>
          <t>post_transaction</t>
        </is>
      </c>
      <c r="H3" s="7" t="inlineStr"/>
    </row>
    <row r="4">
      <c r="A4" s="7" t="inlineStr">
        <is>
          <t>issue</t>
        </is>
      </c>
      <c r="B4" s="7" t="inlineStr">
        <is>
          <t>SC-ISSUE</t>
        </is>
      </c>
      <c r="C4" s="7" t="inlineStr">
        <is>
          <t>09:00:00</t>
        </is>
      </c>
      <c r="D4" s="7" t="inlineStr">
        <is>
          <t>WH-NL-01</t>
        </is>
      </c>
      <c r="E4" s="7" t="n">
        <v>-5</v>
      </c>
      <c r="F4" s="7" t="inlineStr"/>
      <c r="G4" s="7" t="inlineStr">
        <is>
          <t>post_transaction</t>
        </is>
      </c>
      <c r="H4" s="7" t="inlineStr"/>
    </row>
    <row r="5">
      <c r="A5" s="7" t="inlineStr">
        <is>
          <t>adjustment</t>
        </is>
      </c>
      <c r="B5" s="7" t="inlineStr">
        <is>
          <t>SC-ADJP</t>
        </is>
      </c>
      <c r="C5" s="7" t="inlineStr">
        <is>
          <t>10:00:00</t>
        </is>
      </c>
      <c r="D5" s="7" t="inlineStr">
        <is>
          <t>WH-NL-01</t>
        </is>
      </c>
      <c r="E5" s="7" t="n">
        <v>2</v>
      </c>
      <c r="F5" s="7" t="inlineStr"/>
      <c r="G5" s="7" t="inlineStr">
        <is>
          <t>post_transaction</t>
        </is>
      </c>
      <c r="H5" s="7" t="inlineStr"/>
    </row>
    <row r="6">
      <c r="A6" s="7" t="inlineStr">
        <is>
          <t>adjustment</t>
        </is>
      </c>
      <c r="B6" s="7" t="inlineStr">
        <is>
          <t>SC-ADJM</t>
        </is>
      </c>
      <c r="C6" s="7" t="inlineStr">
        <is>
          <t>10:30:00</t>
        </is>
      </c>
      <c r="D6" s="7" t="inlineStr">
        <is>
          <t>WH-NL-01</t>
        </is>
      </c>
      <c r="E6" s="7" t="n">
        <v>-1</v>
      </c>
      <c r="F6" s="7" t="inlineStr"/>
      <c r="G6" s="7" t="inlineStr">
        <is>
          <t>post_transaction</t>
        </is>
      </c>
      <c r="H6" s="7" t="inlineStr"/>
    </row>
    <row r="7">
      <c r="A7" s="7" t="inlineStr">
        <is>
          <t>sales_return</t>
        </is>
      </c>
      <c r="B7" s="7" t="inlineStr">
        <is>
          <t>SC-SRTN</t>
        </is>
      </c>
      <c r="C7" s="7" t="inlineStr">
        <is>
          <t>11:00:00</t>
        </is>
      </c>
      <c r="D7" s="7" t="inlineStr">
        <is>
          <t>WH-NL-01</t>
        </is>
      </c>
      <c r="E7" s="7" t="n">
        <v>3</v>
      </c>
      <c r="F7" s="7" t="inlineStr"/>
      <c r="G7" s="7" t="inlineStr">
        <is>
          <t>post_transaction</t>
        </is>
      </c>
      <c r="H7" s="7" t="inlineStr"/>
    </row>
    <row r="8">
      <c r="A8" s="7" t="inlineStr">
        <is>
          <t>purchase_return</t>
        </is>
      </c>
      <c r="B8" s="7" t="inlineStr">
        <is>
          <t>SC-PRTN</t>
        </is>
      </c>
      <c r="C8" s="7" t="inlineStr">
        <is>
          <t>11:30:00</t>
        </is>
      </c>
      <c r="D8" s="7" t="inlineStr">
        <is>
          <t>WH-NL-01</t>
        </is>
      </c>
      <c r="E8" s="7" t="n">
        <v>-4</v>
      </c>
      <c r="F8" s="7" t="inlineStr"/>
      <c r="G8" s="7" t="inlineStr">
        <is>
          <t>post_transaction</t>
        </is>
      </c>
      <c r="H8" s="7" t="inlineStr"/>
    </row>
    <row r="9">
      <c r="A9" s="7" t="inlineStr">
        <is>
          <t>scrap</t>
        </is>
      </c>
      <c r="B9" s="7" t="inlineStr">
        <is>
          <t>SC-SCRAP</t>
        </is>
      </c>
      <c r="C9" s="7" t="inlineStr">
        <is>
          <t>12:00:00</t>
        </is>
      </c>
      <c r="D9" s="7" t="inlineStr">
        <is>
          <t>WH-NL-01</t>
        </is>
      </c>
      <c r="E9" s="7" t="n">
        <v>-2</v>
      </c>
      <c r="F9" s="7" t="inlineStr"/>
      <c r="G9" s="7" t="inlineStr">
        <is>
          <t>post_transaction</t>
        </is>
      </c>
      <c r="H9" s="7" t="inlineStr"/>
    </row>
    <row r="10">
      <c r="A10" s="7" t="inlineStr">
        <is>
          <t>transfer_in</t>
        </is>
      </c>
      <c r="B10" s="7" t="inlineStr">
        <is>
          <t>SC-XFER-IN</t>
        </is>
      </c>
      <c r="C10" s="7" t="inlineStr">
        <is>
          <t>13:00:00</t>
        </is>
      </c>
      <c r="D10" s="7" t="inlineStr">
        <is>
          <t>WH-NL-02</t>
        </is>
      </c>
      <c r="E10" s="7" t="n">
        <v>10</v>
      </c>
      <c r="F10" s="7" t="inlineStr">
        <is>
          <t>f0000000-0000-0000-0000-000000000001</t>
        </is>
      </c>
      <c r="G10" s="7" t="inlineStr">
        <is>
          <t>post_transaction</t>
        </is>
      </c>
      <c r="H10" s="7" t="inlineStr"/>
    </row>
    <row r="11">
      <c r="A11" s="7" t="inlineStr">
        <is>
          <t>transfer_out</t>
        </is>
      </c>
      <c r="B11" s="7" t="inlineStr">
        <is>
          <t>SC-XFER-OUT</t>
        </is>
      </c>
      <c r="C11" s="7" t="inlineStr">
        <is>
          <t>13:00:00</t>
        </is>
      </c>
      <c r="D11" s="7" t="inlineStr">
        <is>
          <t>WH-NL-01</t>
        </is>
      </c>
      <c r="E11" s="7" t="n">
        <v>-10</v>
      </c>
      <c r="F11" s="7" t="inlineStr">
        <is>
          <t>f0000000-0000-0000-0000-000000000001</t>
        </is>
      </c>
      <c r="G11" s="7" t="inlineStr">
        <is>
          <t>post_transaction</t>
        </is>
      </c>
      <c r="H11" s="7" t="inlineStr"/>
    </row>
    <row r="12">
      <c r="A12" s="7" t="inlineStr">
        <is>
          <t>opening_balance</t>
        </is>
      </c>
      <c r="B12" s="7" t="inlineStr">
        <is>
          <t>OPENING-2026-05-18</t>
        </is>
      </c>
      <c r="C12" s="7" t="inlineStr"/>
      <c r="D12" s="7" t="inlineStr">
        <is>
          <t>WH-NL-01</t>
        </is>
      </c>
      <c r="E12" s="7" t="n">
        <v>100</v>
      </c>
      <c r="F12" s="7" t="inlineStr"/>
      <c r="G12" s="7" t="inlineStr">
        <is>
          <t>INSERT opening_balance</t>
        </is>
      </c>
      <c r="H12" s="7" t="inlineStr"/>
    </row>
    <row r="13">
      <c r="A13" s="7" t="inlineStr">
        <is>
          <t>sfdc_order</t>
        </is>
      </c>
      <c r="B13" s="7" t="inlineStr">
        <is>
          <t>SF-SCEN-C-OPEN</t>
        </is>
      </c>
      <c r="C13" s="7" t="inlineStr"/>
      <c r="D13" s="7" t="inlineStr">
        <is>
          <t>WH-NL-01</t>
        </is>
      </c>
      <c r="E13" s="7" t="n">
        <v>6</v>
      </c>
      <c r="F13" s="7" t="inlineStr"/>
      <c r="G13" s="7" t="inlineStr">
        <is>
          <t>upsert_order</t>
        </is>
      </c>
      <c r="H13" s="7" t="inlineStr">
        <is>
          <t>open (pending)</t>
        </is>
      </c>
    </row>
    <row r="14">
      <c r="A14" s="7" t="inlineStr">
        <is>
          <t>sfdc_order</t>
        </is>
      </c>
      <c r="B14" s="7" t="inlineStr">
        <is>
          <t>SF-SCEN-C-TRANSIT</t>
        </is>
      </c>
      <c r="C14" s="7" t="inlineStr"/>
      <c r="D14" s="7" t="inlineStr">
        <is>
          <t>WH-NL-01</t>
        </is>
      </c>
      <c r="E14" s="7" t="n">
        <v>3</v>
      </c>
      <c r="F14" s="7" t="inlineStr"/>
      <c r="G14" s="7" t="inlineStr">
        <is>
          <t>upsert_order</t>
        </is>
      </c>
      <c r="H14" s="7" t="inlineStr">
        <is>
          <t>synced (pending)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30" customWidth="1" min="3" max="3"/>
    <col width="33" customWidth="1" min="4" max="4"/>
    <col width="50" customWidth="1" min="5" max="5"/>
    <col width="34" customWidth="1" min="6" max="6"/>
    <col width="21" customWidth="1" min="7" max="7"/>
    <col width="11" customWidth="1" min="8" max="8"/>
  </cols>
  <sheetData>
    <row r="1">
      <c r="A1" s="2" t="inlineStr">
        <is>
          <t>scenario_or_wh</t>
        </is>
      </c>
      <c r="B1" s="2" t="inlineStr">
        <is>
          <t>event_type</t>
        </is>
      </c>
      <c r="C1" s="2" t="inlineStr">
        <is>
          <t>external_id</t>
        </is>
      </c>
      <c r="D1" s="2" t="inlineStr">
        <is>
          <t>qty_delta</t>
        </is>
      </c>
      <c r="E1" s="2" t="inlineStr">
        <is>
          <t>running_on_hand</t>
        </is>
      </c>
      <c r="F1" s="2" t="inlineStr">
        <is>
          <t>col6</t>
        </is>
      </c>
      <c r="G1" s="2" t="inlineStr">
        <is>
          <t>col7</t>
        </is>
      </c>
      <c r="H1" s="2" t="inlineStr">
        <is>
          <t>col8</t>
        </is>
      </c>
    </row>
    <row r="2">
      <c r="A2" s="5" t="inlineStr">
        <is>
          <t>SCENARIO C — every txn type in one ledger walk, plus both order states (open + in-transit)</t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</row>
    <row r="3">
      <c r="A3" s="5" t="inlineStr">
        <is>
          <t xml:space="preserve">  WH-NL-01</t>
        </is>
      </c>
      <c r="B3" s="5" t="inlineStr">
        <is>
          <t>event_type</t>
        </is>
      </c>
      <c r="C3" s="5" t="inlineStr">
        <is>
          <t>external_id</t>
        </is>
      </c>
      <c r="D3" s="5" t="inlineStr">
        <is>
          <t>qty_delta</t>
        </is>
      </c>
      <c r="E3" s="5" t="inlineStr">
        <is>
          <t>running_on_hand</t>
        </is>
      </c>
      <c r="F3" s="5" t="inlineStr"/>
      <c r="G3" s="5" t="inlineStr"/>
      <c r="H3" s="5" t="inlineStr"/>
    </row>
    <row r="4">
      <c r="A4" s="5" t="inlineStr"/>
      <c r="B4" s="5" t="inlineStr">
        <is>
          <t>receipt</t>
        </is>
      </c>
      <c r="C4" s="5" t="inlineStr">
        <is>
          <t>SC-RCPT</t>
        </is>
      </c>
      <c r="D4" s="5" t="n">
        <v>20</v>
      </c>
      <c r="E4" s="5" t="n">
        <v>20</v>
      </c>
      <c r="F4" s="5" t="inlineStr"/>
      <c r="G4" s="5" t="inlineStr"/>
      <c r="H4" s="5" t="inlineStr"/>
    </row>
    <row r="5">
      <c r="A5" s="5" t="inlineStr"/>
      <c r="B5" s="5" t="inlineStr">
        <is>
          <t>issue</t>
        </is>
      </c>
      <c r="C5" s="5" t="inlineStr">
        <is>
          <t>SC-ISSUE</t>
        </is>
      </c>
      <c r="D5" s="5" t="n">
        <v>-5</v>
      </c>
      <c r="E5" s="5" t="n">
        <v>15</v>
      </c>
      <c r="F5" s="5" t="inlineStr"/>
      <c r="G5" s="5" t="inlineStr"/>
      <c r="H5" s="5" t="inlineStr"/>
    </row>
    <row r="6">
      <c r="A6" s="5" t="inlineStr"/>
      <c r="B6" s="5" t="inlineStr">
        <is>
          <t>adjustment</t>
        </is>
      </c>
      <c r="C6" s="5" t="inlineStr">
        <is>
          <t>SC-ADJP</t>
        </is>
      </c>
      <c r="D6" s="5" t="n">
        <v>2</v>
      </c>
      <c r="E6" s="5" t="n">
        <v>17</v>
      </c>
      <c r="F6" s="5" t="inlineStr"/>
      <c r="G6" s="5" t="inlineStr"/>
      <c r="H6" s="5" t="inlineStr"/>
    </row>
    <row r="7">
      <c r="A7" s="5" t="inlineStr"/>
      <c r="B7" s="5" t="inlineStr">
        <is>
          <t>adjustment</t>
        </is>
      </c>
      <c r="C7" s="5" t="inlineStr">
        <is>
          <t>SC-ADJM</t>
        </is>
      </c>
      <c r="D7" s="5" t="n">
        <v>-1</v>
      </c>
      <c r="E7" s="5" t="n">
        <v>16</v>
      </c>
      <c r="F7" s="5" t="inlineStr"/>
      <c r="G7" s="5" t="inlineStr"/>
      <c r="H7" s="5" t="inlineStr"/>
    </row>
    <row r="8">
      <c r="A8" s="5" t="inlineStr"/>
      <c r="B8" s="5" t="inlineStr">
        <is>
          <t>sales_return</t>
        </is>
      </c>
      <c r="C8" s="5" t="inlineStr">
        <is>
          <t>SC-SRTN</t>
        </is>
      </c>
      <c r="D8" s="5" t="n">
        <v>3</v>
      </c>
      <c r="E8" s="5" t="n">
        <v>19</v>
      </c>
      <c r="F8" s="5" t="inlineStr"/>
      <c r="G8" s="5" t="inlineStr"/>
      <c r="H8" s="5" t="inlineStr"/>
    </row>
    <row r="9">
      <c r="A9" s="5" t="inlineStr"/>
      <c r="B9" s="5" t="inlineStr">
        <is>
          <t>purchase_return</t>
        </is>
      </c>
      <c r="C9" s="5" t="inlineStr">
        <is>
          <t>SC-PRTN</t>
        </is>
      </c>
      <c r="D9" s="5" t="n">
        <v>-4</v>
      </c>
      <c r="E9" s="5" t="n">
        <v>15</v>
      </c>
      <c r="F9" s="5" t="inlineStr"/>
      <c r="G9" s="5" t="inlineStr"/>
      <c r="H9" s="5" t="inlineStr"/>
    </row>
    <row r="10">
      <c r="A10" s="5" t="inlineStr"/>
      <c r="B10" s="5" t="inlineStr">
        <is>
          <t>scrap</t>
        </is>
      </c>
      <c r="C10" s="5" t="inlineStr">
        <is>
          <t>SC-SCRAP</t>
        </is>
      </c>
      <c r="D10" s="5" t="n">
        <v>-2</v>
      </c>
      <c r="E10" s="5" t="n">
        <v>13</v>
      </c>
      <c r="F10" s="5" t="inlineStr"/>
      <c r="G10" s="5" t="inlineStr"/>
      <c r="H10" s="5" t="inlineStr"/>
    </row>
    <row r="11">
      <c r="A11" s="5" t="inlineStr"/>
      <c r="B11" s="5" t="inlineStr">
        <is>
          <t>transfer_out</t>
        </is>
      </c>
      <c r="C11" s="5" t="inlineStr">
        <is>
          <t>SC-XFER-OUT</t>
        </is>
      </c>
      <c r="D11" s="5" t="n">
        <v>-10</v>
      </c>
      <c r="E11" s="5" t="n">
        <v>3</v>
      </c>
      <c r="F11" s="5" t="inlineStr"/>
      <c r="G11" s="5" t="inlineStr"/>
      <c r="H11" s="5" t="inlineStr"/>
    </row>
    <row r="12">
      <c r="A12" s="5" t="inlineStr"/>
      <c r="B12" s="5" t="inlineStr">
        <is>
          <t>opening_balance</t>
        </is>
      </c>
      <c r="C12" s="5" t="inlineStr">
        <is>
          <t>OPENING-2026-05-18</t>
        </is>
      </c>
      <c r="D12" s="5" t="n">
        <v>100</v>
      </c>
      <c r="E12" s="5" t="n">
        <v>103</v>
      </c>
      <c r="F12" s="5" t="inlineStr"/>
      <c r="G12" s="5" t="inlineStr"/>
      <c r="H12" s="5" t="inlineStr"/>
    </row>
    <row r="13">
      <c r="A13" s="5" t="inlineStr">
        <is>
          <t xml:space="preserve">  WH-NL-01 summary</t>
        </is>
      </c>
      <c r="B13" s="5" t="inlineStr">
        <is>
          <t>on_hand=103.0000</t>
        </is>
      </c>
      <c r="C13" s="5" t="inlineStr">
        <is>
          <t>reserved=6.0000 (open lines)</t>
        </is>
      </c>
      <c r="D13" s="5" t="inlineStr">
        <is>
          <t>allocated=3.0000 (synced lines)</t>
        </is>
      </c>
      <c r="E13" s="5" t="inlineStr">
        <is>
          <t>pending=9.0000 (open+synced AND fop_synced_at IS NULL)</t>
        </is>
      </c>
      <c r="F13" s="5" t="inlineStr">
        <is>
          <t>formula: ATP = on_hand - pending</t>
        </is>
      </c>
      <c r="G13" s="5">
        <f> 103.0000 - 9.0000</f>
        <v/>
      </c>
      <c r="H13" s="5">
        <f> 94.0000</f>
        <v/>
      </c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>
      <c r="A15" s="5" t="inlineStr">
        <is>
          <t xml:space="preserve">  WH-NL-02</t>
        </is>
      </c>
      <c r="B15" s="5" t="inlineStr">
        <is>
          <t>event_type</t>
        </is>
      </c>
      <c r="C15" s="5" t="inlineStr">
        <is>
          <t>external_id</t>
        </is>
      </c>
      <c r="D15" s="5" t="inlineStr">
        <is>
          <t>qty_delta</t>
        </is>
      </c>
      <c r="E15" s="5" t="inlineStr">
        <is>
          <t>running_on_hand</t>
        </is>
      </c>
      <c r="F15" s="5" t="inlineStr"/>
      <c r="G15" s="5" t="inlineStr"/>
      <c r="H15" s="5" t="inlineStr"/>
    </row>
    <row r="16">
      <c r="A16" s="5" t="inlineStr"/>
      <c r="B16" s="5" t="inlineStr">
        <is>
          <t>transfer_in</t>
        </is>
      </c>
      <c r="C16" s="5" t="inlineStr">
        <is>
          <t>SC-XFER-IN</t>
        </is>
      </c>
      <c r="D16" s="5" t="n">
        <v>10</v>
      </c>
      <c r="E16" s="5" t="n">
        <v>10</v>
      </c>
      <c r="F16" s="5" t="inlineStr"/>
      <c r="G16" s="5" t="inlineStr"/>
      <c r="H16" s="5" t="inlineStr"/>
    </row>
    <row r="17">
      <c r="A17" s="5" t="inlineStr">
        <is>
          <t xml:space="preserve">  WH-NL-02 summary</t>
        </is>
      </c>
      <c r="B17" s="5" t="inlineStr">
        <is>
          <t>on_hand=10.0000</t>
        </is>
      </c>
      <c r="C17" s="5" t="inlineStr">
        <is>
          <t>reserved=0 (open lines)</t>
        </is>
      </c>
      <c r="D17" s="5" t="inlineStr">
        <is>
          <t>allocated=0 (synced lines)</t>
        </is>
      </c>
      <c r="E17" s="5" t="inlineStr">
        <is>
          <t>pending=0 (open+synced AND fop_synced_at IS NULL)</t>
        </is>
      </c>
      <c r="F17" s="5" t="inlineStr">
        <is>
          <t>formula: ATP = on_hand - pending</t>
        </is>
      </c>
      <c r="G17" s="5">
        <f> 10.0000 - 0</f>
        <v/>
      </c>
      <c r="H17" s="5">
        <f> 10.0000</f>
        <v/>
      </c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1" customWidth="1" min="3" max="3"/>
    <col width="9" customWidth="1" min="4" max="4"/>
    <col width="10" customWidth="1" min="5" max="5"/>
    <col width="11" customWidth="1" min="6" max="6"/>
    <col width="9" customWidth="1" min="7" max="7"/>
    <col width="6" customWidth="1" min="8" max="8"/>
  </cols>
  <sheetData>
    <row r="1">
      <c r="A1" s="1" t="inlineStr">
        <is>
          <t>Scenario C — final ATP (from calculate_inventory)</t>
        </is>
      </c>
    </row>
    <row r="2">
      <c r="A2" s="2" t="inlineStr">
        <is>
          <t>tenant</t>
        </is>
      </c>
      <c r="B2" s="2" t="inlineStr">
        <is>
          <t>product</t>
        </is>
      </c>
      <c r="C2" s="2" t="inlineStr">
        <is>
          <t>warehouse</t>
        </is>
      </c>
      <c r="D2" s="2" t="inlineStr">
        <is>
          <t>on_hand</t>
        </is>
      </c>
      <c r="E2" s="2" t="inlineStr">
        <is>
          <t>reserved</t>
        </is>
      </c>
      <c r="F2" s="2" t="inlineStr">
        <is>
          <t>allocated</t>
        </is>
      </c>
      <c r="G2" s="2" t="inlineStr">
        <is>
          <t>pending</t>
        </is>
      </c>
      <c r="H2" s="2" t="inlineStr">
        <is>
          <t>ATP</t>
        </is>
      </c>
    </row>
    <row r="3">
      <c r="A3" s="7" t="inlineStr">
        <is>
          <t>ACME</t>
        </is>
      </c>
      <c r="B3" s="7" t="inlineStr">
        <is>
          <t>P1001</t>
        </is>
      </c>
      <c r="C3" s="7" t="inlineStr">
        <is>
          <t>WH-NL-01</t>
        </is>
      </c>
      <c r="D3" s="7" t="n">
        <v>103</v>
      </c>
      <c r="E3" s="7" t="n">
        <v>6</v>
      </c>
      <c r="F3" s="7" t="n">
        <v>3</v>
      </c>
      <c r="G3" s="7" t="n">
        <v>9</v>
      </c>
      <c r="H3" s="7" t="n">
        <v>94</v>
      </c>
    </row>
    <row r="4">
      <c r="A4" s="7" t="inlineStr">
        <is>
          <t>ACME</t>
        </is>
      </c>
      <c r="B4" s="7" t="inlineStr">
        <is>
          <t>P1001</t>
        </is>
      </c>
      <c r="C4" s="7" t="inlineStr">
        <is>
          <t>WH-NL-02</t>
        </is>
      </c>
      <c r="D4" s="7" t="n">
        <v>10</v>
      </c>
      <c r="E4" s="7" t="n">
        <v>0</v>
      </c>
      <c r="F4" s="7" t="n">
        <v>0</v>
      </c>
      <c r="G4" s="7" t="n">
        <v>0</v>
      </c>
      <c r="H4" s="7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</cols>
  <sheetData>
    <row r="1">
      <c r="A1" s="1" t="inlineStr">
        <is>
          <t>Final transaction counts (after scenario C)</t>
        </is>
      </c>
    </row>
    <row r="2">
      <c r="A2" s="2" t="inlineStr">
        <is>
          <t>event_type</t>
        </is>
      </c>
      <c r="B2" s="2" t="inlineStr">
        <is>
          <t>count</t>
        </is>
      </c>
    </row>
    <row r="3">
      <c r="A3" s="3" t="inlineStr">
        <is>
          <t>adjustment</t>
        </is>
      </c>
      <c r="B3" s="3" t="n">
        <v>2</v>
      </c>
    </row>
    <row r="4">
      <c r="A4" s="3" t="inlineStr">
        <is>
          <t>issue</t>
        </is>
      </c>
      <c r="B4" s="3" t="n">
        <v>1</v>
      </c>
    </row>
    <row r="5">
      <c r="A5" s="3" t="inlineStr">
        <is>
          <t>opening_balance</t>
        </is>
      </c>
      <c r="B5" s="3" t="n">
        <v>1</v>
      </c>
    </row>
    <row r="6">
      <c r="A6" s="3" t="inlineStr">
        <is>
          <t>purchase_return</t>
        </is>
      </c>
      <c r="B6" s="3" t="n">
        <v>1</v>
      </c>
    </row>
    <row r="7">
      <c r="A7" s="3" t="inlineStr">
        <is>
          <t>receipt</t>
        </is>
      </c>
      <c r="B7" s="3" t="n">
        <v>1</v>
      </c>
    </row>
    <row r="8">
      <c r="A8" s="3" t="inlineStr">
        <is>
          <t>sales_return</t>
        </is>
      </c>
      <c r="B8" s="3" t="n">
        <v>1</v>
      </c>
    </row>
    <row r="9">
      <c r="A9" s="3" t="inlineStr">
        <is>
          <t>scrap</t>
        </is>
      </c>
      <c r="B9" s="3" t="n">
        <v>1</v>
      </c>
    </row>
    <row r="10">
      <c r="A10" s="3" t="inlineStr">
        <is>
          <t>sfdc_order_line</t>
        </is>
      </c>
      <c r="B10" s="3" t="n">
        <v>2</v>
      </c>
    </row>
    <row r="11">
      <c r="A11" s="3" t="inlineStr">
        <is>
          <t>transfer_in</t>
        </is>
      </c>
      <c r="B11" s="3" t="n">
        <v>1</v>
      </c>
    </row>
    <row r="12">
      <c r="A12" s="3" t="inlineStr">
        <is>
          <t>transfer_out</t>
        </is>
      </c>
      <c r="B12" s="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21" customWidth="1" min="3" max="3"/>
  </cols>
  <sheetData>
    <row r="1">
      <c r="A1" s="1" t="inlineStr">
        <is>
          <t>Field definitions</t>
        </is>
      </c>
    </row>
    <row r="2">
      <c r="A2" s="2" t="inlineStr">
        <is>
          <t>Field</t>
        </is>
      </c>
      <c r="B2" s="2" t="inlineStr">
        <is>
          <t>Meaning</t>
        </is>
      </c>
      <c r="C2" s="2" t="inlineStr">
        <is>
          <t>Source</t>
        </is>
      </c>
    </row>
    <row r="3">
      <c r="A3" s="3" t="inlineStr">
        <is>
          <t>on_hand</t>
        </is>
      </c>
      <c r="B3" s="3" t="inlineStr">
        <is>
          <t>opening_balance.qty + Σ inv_transaction.signed_qty for (tenant, product, warehouse)</t>
        </is>
      </c>
      <c r="C3" s="3" t="inlineStr">
        <is>
          <t>calculate_inventory</t>
        </is>
      </c>
    </row>
    <row r="4">
      <c r="A4" s="3" t="inlineStr">
        <is>
          <t>reserved</t>
        </is>
      </c>
      <c r="B4" s="3" t="inlineStr">
        <is>
          <t>Σ sfdc_order_line.qty where line_state = open</t>
        </is>
      </c>
      <c r="C4" s="3" t="inlineStr">
        <is>
          <t>calculate_inventory</t>
        </is>
      </c>
    </row>
    <row r="5">
      <c r="A5" s="3" t="inlineStr">
        <is>
          <t>allocated</t>
        </is>
      </c>
      <c r="B5" s="3" t="inlineStr">
        <is>
          <t>Σ sfdc_order_line.qty where line_state = synced</t>
        </is>
      </c>
      <c r="C5" s="3" t="inlineStr">
        <is>
          <t>calculate_inventory</t>
        </is>
      </c>
    </row>
    <row r="6">
      <c r="A6" s="3" t="inlineStr">
        <is>
          <t>pending</t>
        </is>
      </c>
      <c r="B6" s="3" t="inlineStr">
        <is>
          <t>Σ sfdc_order_line.qty where line_state IN (open, synced) AND fop_synced_at IS NULL</t>
        </is>
      </c>
      <c r="C6" s="3" t="inlineStr">
        <is>
          <t>calculate_inventory</t>
        </is>
      </c>
    </row>
    <row r="7">
      <c r="A7" s="3" t="inlineStr">
        <is>
          <t>ATP</t>
        </is>
      </c>
      <c r="B7" s="3" t="inlineStr">
        <is>
          <t>on_hand − pending (the deck formula: opening + Σtxn − Σpending)</t>
        </is>
      </c>
      <c r="C7" s="3" t="inlineStr">
        <is>
          <t>calculate_inventory</t>
        </is>
      </c>
    </row>
    <row r="8">
      <c r="A8" s="3" t="inlineStr"/>
      <c r="B8" s="3" t="inlineStr"/>
      <c r="C8" s="3" t="inlineStr"/>
    </row>
    <row r="9">
      <c r="A9" s="3" t="inlineStr">
        <is>
          <t>Reconciliation rule</t>
        </is>
      </c>
      <c r="B9" s="3" t="inlineStr">
        <is>
          <t>On INSERT to inv_transaction with signed_qty&lt;0, the AFTER-INSERT trigger f_reconcile_orders finds the OLDEST sfdc_order_line (same tenant+product+warehouse) where line_state IN (open, synced) AND fop_synced_at IS NULL AND qty &lt;= ABS(signed_qty), stamps fop_synced_at and sets line_state=synced.</t>
        </is>
      </c>
      <c r="C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2026-05-18T14:57:21Z</dcterms:created>
  <dcterms:modified xmlns:dcterms="http://purl.org/dc/terms/" xmlns:xsi="http://www.w3.org/2001/XMLSchema-instance" xsi:type="dcterms:W3CDTF">2026-05-18T14:57:21Z</dcterms:modified>
</cp:coreProperties>
</file>